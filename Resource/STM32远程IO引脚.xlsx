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manro\Desktop\RemoteIO\remote-io\Resource\"/>
    </mc:Choice>
  </mc:AlternateContent>
  <xr:revisionPtr revIDLastSave="0" documentId="13_ncr:1_{414FE75E-E301-4C61-BC58-3E80280F9B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引脚定义" sheetId="1" r:id="rId1"/>
    <sheet name="引脚定义(V1.2引脚定义)" sheetId="6" r:id="rId2"/>
    <sheet name="拨码开关说明" sheetId="3" r:id="rId3"/>
    <sheet name="参数定义表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6" l="1"/>
  <c r="F2" i="6"/>
  <c r="F1" i="6"/>
  <c r="F2" i="1"/>
  <c r="F1" i="1"/>
  <c r="F7" i="1" s="1"/>
</calcChain>
</file>

<file path=xl/sharedStrings.xml><?xml version="1.0" encoding="utf-8"?>
<sst xmlns="http://schemas.openxmlformats.org/spreadsheetml/2006/main" count="345" uniqueCount="149">
  <si>
    <t>下载口</t>
    <phoneticPr fontId="1" type="noConversion"/>
  </si>
  <si>
    <t>5V</t>
    <phoneticPr fontId="1" type="noConversion"/>
  </si>
  <si>
    <t>GND</t>
    <phoneticPr fontId="1" type="noConversion"/>
  </si>
  <si>
    <t>3.3V</t>
    <phoneticPr fontId="1" type="noConversion"/>
  </si>
  <si>
    <t>RST</t>
    <phoneticPr fontId="1" type="noConversion"/>
  </si>
  <si>
    <t>VB</t>
    <phoneticPr fontId="1" type="noConversion"/>
  </si>
  <si>
    <t>PB12</t>
    <phoneticPr fontId="1" type="noConversion"/>
  </si>
  <si>
    <t>PB13</t>
    <phoneticPr fontId="1" type="noConversion"/>
  </si>
  <si>
    <t>PB14</t>
    <phoneticPr fontId="1" type="noConversion"/>
  </si>
  <si>
    <t>PB15</t>
    <phoneticPr fontId="1" type="noConversion"/>
  </si>
  <si>
    <t>PA8</t>
    <phoneticPr fontId="1" type="noConversion"/>
  </si>
  <si>
    <t>PA9</t>
    <phoneticPr fontId="1" type="noConversion"/>
  </si>
  <si>
    <t>PA10</t>
    <phoneticPr fontId="1" type="noConversion"/>
  </si>
  <si>
    <t>PA11</t>
    <phoneticPr fontId="1" type="noConversion"/>
  </si>
  <si>
    <t>PA12</t>
    <phoneticPr fontId="1" type="noConversion"/>
  </si>
  <si>
    <t>PA15</t>
    <phoneticPr fontId="1" type="noConversion"/>
  </si>
  <si>
    <t>PB3</t>
    <phoneticPr fontId="1" type="noConversion"/>
  </si>
  <si>
    <t>PB4</t>
    <phoneticPr fontId="1" type="noConversion"/>
  </si>
  <si>
    <t>PB5</t>
    <phoneticPr fontId="1" type="noConversion"/>
  </si>
  <si>
    <t>PB6</t>
    <phoneticPr fontId="1" type="noConversion"/>
  </si>
  <si>
    <t>PB7</t>
    <phoneticPr fontId="1" type="noConversion"/>
  </si>
  <si>
    <t>PB8</t>
    <phoneticPr fontId="1" type="noConversion"/>
  </si>
  <si>
    <t>PB9</t>
    <phoneticPr fontId="1" type="noConversion"/>
  </si>
  <si>
    <t>PB11</t>
    <phoneticPr fontId="1" type="noConversion"/>
  </si>
  <si>
    <t>PB10</t>
    <phoneticPr fontId="1" type="noConversion"/>
  </si>
  <si>
    <t>PB1</t>
    <phoneticPr fontId="1" type="noConversion"/>
  </si>
  <si>
    <t>PB0</t>
    <phoneticPr fontId="1" type="noConversion"/>
  </si>
  <si>
    <t>PA7</t>
    <phoneticPr fontId="1" type="noConversion"/>
  </si>
  <si>
    <t>PA6</t>
    <phoneticPr fontId="1" type="noConversion"/>
  </si>
  <si>
    <t>PA5</t>
    <phoneticPr fontId="1" type="noConversion"/>
  </si>
  <si>
    <t>PA4</t>
    <phoneticPr fontId="1" type="noConversion"/>
  </si>
  <si>
    <t>PA3</t>
    <phoneticPr fontId="1" type="noConversion"/>
  </si>
  <si>
    <t>PA2</t>
    <phoneticPr fontId="1" type="noConversion"/>
  </si>
  <si>
    <t>PA1</t>
    <phoneticPr fontId="1" type="noConversion"/>
  </si>
  <si>
    <t>PA0</t>
    <phoneticPr fontId="1" type="noConversion"/>
  </si>
  <si>
    <t>PC15</t>
    <phoneticPr fontId="1" type="noConversion"/>
  </si>
  <si>
    <t>PC14</t>
    <phoneticPr fontId="1" type="noConversion"/>
  </si>
  <si>
    <t>PC13</t>
    <phoneticPr fontId="1" type="noConversion"/>
  </si>
  <si>
    <t>RX</t>
    <phoneticPr fontId="1" type="noConversion"/>
  </si>
  <si>
    <t>TX</t>
    <phoneticPr fontId="1" type="noConversion"/>
  </si>
  <si>
    <t>IIC</t>
    <phoneticPr fontId="1" type="noConversion"/>
  </si>
  <si>
    <t>SDA</t>
    <phoneticPr fontId="1" type="noConversion"/>
  </si>
  <si>
    <t>SCL</t>
    <phoneticPr fontId="1" type="noConversion"/>
  </si>
  <si>
    <t>SPI</t>
    <phoneticPr fontId="1" type="noConversion"/>
  </si>
  <si>
    <t>MISO</t>
    <phoneticPr fontId="1" type="noConversion"/>
  </si>
  <si>
    <t>MOSI</t>
    <phoneticPr fontId="1" type="noConversion"/>
  </si>
  <si>
    <t>SCLK</t>
    <phoneticPr fontId="1" type="noConversion"/>
  </si>
  <si>
    <t>SS</t>
    <phoneticPr fontId="1" type="noConversion"/>
  </si>
  <si>
    <t>RS485</t>
    <phoneticPr fontId="1" type="noConversion"/>
  </si>
  <si>
    <t>EN</t>
    <phoneticPr fontId="1" type="noConversion"/>
  </si>
  <si>
    <t>DI</t>
    <phoneticPr fontId="1" type="noConversion"/>
  </si>
  <si>
    <t>DO</t>
    <phoneticPr fontId="1" type="noConversion"/>
  </si>
  <si>
    <t>总共</t>
    <phoneticPr fontId="1" type="noConversion"/>
  </si>
  <si>
    <t>通信</t>
    <phoneticPr fontId="1" type="noConversion"/>
  </si>
  <si>
    <t>剩余</t>
    <phoneticPr fontId="1" type="noConversion"/>
  </si>
  <si>
    <t>X0</t>
    <phoneticPr fontId="1" type="noConversion"/>
  </si>
  <si>
    <t>X1</t>
  </si>
  <si>
    <t>X2</t>
  </si>
  <si>
    <t>X3</t>
  </si>
  <si>
    <t>X4</t>
  </si>
  <si>
    <t>X5</t>
  </si>
  <si>
    <t>X6</t>
  </si>
  <si>
    <t>X7</t>
  </si>
  <si>
    <t>Y0</t>
    <phoneticPr fontId="1" type="noConversion"/>
  </si>
  <si>
    <t>Y1</t>
  </si>
  <si>
    <t>Y2</t>
  </si>
  <si>
    <t>Y3</t>
  </si>
  <si>
    <t>Y4</t>
  </si>
  <si>
    <t>Y5</t>
  </si>
  <si>
    <t>开关</t>
    <phoneticPr fontId="1" type="noConversion"/>
  </si>
  <si>
    <t>DIP开关</t>
    <phoneticPr fontId="1" type="noConversion"/>
  </si>
  <si>
    <t>终端电阻</t>
    <phoneticPr fontId="1" type="noConversion"/>
  </si>
  <si>
    <t>站号1</t>
    <phoneticPr fontId="1" type="noConversion"/>
  </si>
  <si>
    <t>站号2</t>
    <phoneticPr fontId="1" type="noConversion"/>
  </si>
  <si>
    <t>站号3</t>
    <phoneticPr fontId="1" type="noConversion"/>
  </si>
  <si>
    <t>波特率1</t>
    <phoneticPr fontId="1" type="noConversion"/>
  </si>
  <si>
    <t>波特率2</t>
    <phoneticPr fontId="1" type="noConversion"/>
  </si>
  <si>
    <t>指示灯</t>
    <phoneticPr fontId="1" type="noConversion"/>
  </si>
  <si>
    <t>RUN</t>
    <phoneticPr fontId="1" type="noConversion"/>
  </si>
  <si>
    <t>ERROR</t>
    <phoneticPr fontId="1" type="noConversion"/>
  </si>
  <si>
    <t>/</t>
    <phoneticPr fontId="1" type="noConversion"/>
  </si>
  <si>
    <t>/</t>
    <phoneticPr fontId="1" type="noConversion"/>
  </si>
  <si>
    <t>开发板引脚</t>
    <phoneticPr fontId="1" type="noConversion"/>
  </si>
  <si>
    <t>站号</t>
    <phoneticPr fontId="1" type="noConversion"/>
  </si>
  <si>
    <t>DIP4</t>
    <phoneticPr fontId="1" type="noConversion"/>
  </si>
  <si>
    <t>DIP5</t>
    <phoneticPr fontId="1" type="noConversion"/>
  </si>
  <si>
    <t>DIP1</t>
    <phoneticPr fontId="1" type="noConversion"/>
  </si>
  <si>
    <t>DIP2</t>
    <phoneticPr fontId="1" type="noConversion"/>
  </si>
  <si>
    <t>DIP3</t>
    <phoneticPr fontId="1" type="noConversion"/>
  </si>
  <si>
    <t>Default</t>
    <phoneticPr fontId="1" type="noConversion"/>
  </si>
  <si>
    <t>说明</t>
    <phoneticPr fontId="1" type="noConversion"/>
  </si>
  <si>
    <t>波特率</t>
    <phoneticPr fontId="1" type="noConversion"/>
  </si>
  <si>
    <t>由参数中的默认站号，出厂为1</t>
    <phoneticPr fontId="1" type="noConversion"/>
  </si>
  <si>
    <t>参数定义</t>
    <phoneticPr fontId="1" type="noConversion"/>
  </si>
  <si>
    <t>默认值</t>
    <phoneticPr fontId="1" type="noConversion"/>
  </si>
  <si>
    <t>读写</t>
    <phoneticPr fontId="1" type="noConversion"/>
  </si>
  <si>
    <t>当前站号</t>
    <phoneticPr fontId="1" type="noConversion"/>
  </si>
  <si>
    <t>当前波特率</t>
    <phoneticPr fontId="1" type="noConversion"/>
  </si>
  <si>
    <t>单位</t>
    <phoneticPr fontId="1" type="noConversion"/>
  </si>
  <si>
    <t>bps</t>
    <phoneticPr fontId="1" type="noConversion"/>
  </si>
  <si>
    <t>输入滤波时间</t>
    <phoneticPr fontId="1" type="noConversion"/>
  </si>
  <si>
    <t>ms</t>
    <phoneticPr fontId="1" type="noConversion"/>
  </si>
  <si>
    <t>输入状态反馈</t>
    <phoneticPr fontId="1" type="noConversion"/>
  </si>
  <si>
    <t>输出状态反馈</t>
    <phoneticPr fontId="1" type="noConversion"/>
  </si>
  <si>
    <t>范围</t>
    <phoneticPr fontId="1" type="noConversion"/>
  </si>
  <si>
    <t>1-100</t>
    <phoneticPr fontId="1" type="noConversion"/>
  </si>
  <si>
    <t>R</t>
    <phoneticPr fontId="1" type="noConversion"/>
  </si>
  <si>
    <t>R/W</t>
    <phoneticPr fontId="1" type="noConversion"/>
  </si>
  <si>
    <t>MAC地址字节1和2</t>
    <phoneticPr fontId="1" type="noConversion"/>
  </si>
  <si>
    <t>MAC地址字节3和4</t>
    <phoneticPr fontId="1" type="noConversion"/>
  </si>
  <si>
    <t>MAC地址字节5和6</t>
    <phoneticPr fontId="1" type="noConversion"/>
  </si>
  <si>
    <t>参数保存</t>
    <phoneticPr fontId="1" type="noConversion"/>
  </si>
  <si>
    <t>bit0-bit7分别对应X0-X7</t>
    <phoneticPr fontId="1" type="noConversion"/>
  </si>
  <si>
    <t>bit0-bit5分别对应Y0-Y5</t>
    <phoneticPr fontId="1" type="noConversion"/>
  </si>
  <si>
    <t>IP地址低16位</t>
    <phoneticPr fontId="1" type="noConversion"/>
  </si>
  <si>
    <t>IP地址高16位</t>
    <phoneticPr fontId="1" type="noConversion"/>
  </si>
  <si>
    <t>R</t>
    <phoneticPr fontId="1" type="noConversion"/>
  </si>
  <si>
    <t>R/W</t>
    <phoneticPr fontId="1" type="noConversion"/>
  </si>
  <si>
    <t>全off为1，其他按位组合，修改后需重启生效
DIP3 DIP2 DIP1
000：1
001：1
010：2
依次类推,最大为111：7</t>
    <phoneticPr fontId="1" type="noConversion"/>
  </si>
  <si>
    <t>全off位115200，，修改后需重启生效
DIP5 DIP4
00：115200
01：9600
10：19200
11：38400</t>
    <phoneticPr fontId="1" type="noConversion"/>
  </si>
  <si>
    <t>例如：192.168.1.168，修改IP地址后必须重启才会生效。
15：高字节01=1，低字节A8=168
16：高字节C0=192，低字节A8=168</t>
    <phoneticPr fontId="1" type="noConversion"/>
  </si>
  <si>
    <t>0XC0A8</t>
    <phoneticPr fontId="1" type="noConversion"/>
  </si>
  <si>
    <t>0X01A8</t>
    <phoneticPr fontId="1" type="noConversion"/>
  </si>
  <si>
    <t>0X5634</t>
    <phoneticPr fontId="1" type="noConversion"/>
  </si>
  <si>
    <t>0X12EF</t>
    <phoneticPr fontId="1" type="noConversion"/>
  </si>
  <si>
    <t>0XCDAB</t>
    <phoneticPr fontId="1" type="noConversion"/>
  </si>
  <si>
    <t>初始化时是以单片机ID自动生成</t>
    <phoneticPr fontId="1" type="noConversion"/>
  </si>
  <si>
    <t>输入端口的滤波时间</t>
    <phoneticPr fontId="1" type="noConversion"/>
  </si>
  <si>
    <t>Modbus地址</t>
    <phoneticPr fontId="1" type="noConversion"/>
  </si>
  <si>
    <t>固件版本号,一位年尾号+2位月份+2位日</t>
    <phoneticPr fontId="1" type="noConversion"/>
  </si>
  <si>
    <t>固件版本号</t>
    <phoneticPr fontId="1" type="noConversion"/>
  </si>
  <si>
    <t>写入对应数值后，程序会自动清零
Save = 10,          // 将Modbus寄存器的值保存到EEPROM中
Reload = 20,        // 从EEPROM中加载Modbus寄存器的值
Reboot = 30,        // 重启设备
Factory_Reset = 66, // 恢复出厂设置并重启设备</t>
    <phoneticPr fontId="1" type="noConversion"/>
  </si>
  <si>
    <t>设备运行时间</t>
    <phoneticPr fontId="1" type="noConversion"/>
  </si>
  <si>
    <t>R</t>
    <phoneticPr fontId="1" type="noConversion"/>
  </si>
  <si>
    <t>0-65535</t>
    <phoneticPr fontId="1" type="noConversion"/>
  </si>
  <si>
    <t>秒</t>
    <phoneticPr fontId="1" type="noConversion"/>
  </si>
  <si>
    <t>设备运行时间，重复0-65535，可用于心跳检测</t>
    <phoneticPr fontId="1" type="noConversion"/>
  </si>
  <si>
    <t>默认波特率，出厂为115200</t>
    <phoneticPr fontId="1" type="noConversion"/>
  </si>
  <si>
    <t xml:space="preserve">AI0的模拟量电压输入转换的数字量，电压输入范围0-5V，精度0.01V,数字量经过转换公式（测量值\*0.0001818）后得到时实际输入电压值。例如数字值为27415，则输入电压为27415*0.0001818=4.98V。   注：如果读取值为32767，则表似乎模拟输入芯片部分未初始化完成，存在故障。    </t>
    <phoneticPr fontId="1" type="noConversion"/>
  </si>
  <si>
    <t>R</t>
    <phoneticPr fontId="1" type="noConversion"/>
  </si>
  <si>
    <t>AI0模拟量电压输入值</t>
    <phoneticPr fontId="1" type="noConversion"/>
  </si>
  <si>
    <t>AI3模拟量电压输入值</t>
    <phoneticPr fontId="1" type="noConversion"/>
  </si>
  <si>
    <t>AI2模拟量电压输入值</t>
    <phoneticPr fontId="1" type="noConversion"/>
  </si>
  <si>
    <t>AI1模拟量电压输入值</t>
    <phoneticPr fontId="1" type="noConversion"/>
  </si>
  <si>
    <t>参考AI0</t>
    <phoneticPr fontId="1" type="noConversion"/>
  </si>
  <si>
    <t xml:space="preserve">扩展输入状态反馈 </t>
    <phoneticPr fontId="1" type="noConversion"/>
  </si>
  <si>
    <t>扩展输出状态反馈</t>
    <phoneticPr fontId="1" type="noConversion"/>
  </si>
  <si>
    <t xml:space="preserve">bit0-bit7分别对应X10-X17 bit8-bit15分别对应X20-X27 </t>
    <phoneticPr fontId="1" type="noConversion"/>
  </si>
  <si>
    <t>bit0-bit7分别对应Y10-Y17 bit8-bit15分别对应Y20-Y27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</si>
</sst>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sz val="11"/>
      <color theme="0"/>
      <name val="等线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7" borderId="1" xfId="0" applyFont="1" applyFill="1" applyBorder="1"/>
    <xf numFmtId="0" fontId="3" fillId="7" borderId="1" xfId="0" applyFont="1" applyFill="1" applyBorder="1"/>
    <xf numFmtId="0" fontId="0" fillId="8" borderId="1" xfId="0" applyFill="1" applyBorder="1"/>
    <xf numFmtId="0" fontId="0" fillId="0" borderId="2" xfId="0" applyBorder="1"/>
    <xf numFmtId="0" fontId="0" fillId="9" borderId="1" xfId="0" applyFill="1" applyBorder="1"/>
    <xf numFmtId="0" fontId="0" fillId="10" borderId="1" xfId="0" applyFill="1" applyBorder="1"/>
    <xf numFmtId="0" fontId="0" fillId="8" borderId="2" xfId="0" applyFill="1" applyBorder="1"/>
    <xf numFmtId="0" fontId="0" fillId="9" borderId="2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2" borderId="2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13" borderId="1" xfId="0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32459</xdr:colOff>
      <xdr:row>0</xdr:row>
      <xdr:rowOff>175846</xdr:rowOff>
    </xdr:from>
    <xdr:to>
      <xdr:col>60</xdr:col>
      <xdr:colOff>41326</xdr:colOff>
      <xdr:row>31</xdr:row>
      <xdr:rowOff>15597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A0995D3-807C-68F0-06BB-68024728A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8324" y="175846"/>
          <a:ext cx="7584906" cy="551811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61</xdr:col>
      <xdr:colOff>10036</xdr:colOff>
      <xdr:row>0</xdr:row>
      <xdr:rowOff>143354</xdr:rowOff>
    </xdr:from>
    <xdr:to>
      <xdr:col>108</xdr:col>
      <xdr:colOff>12765</xdr:colOff>
      <xdr:row>23</xdr:row>
      <xdr:rowOff>114846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A43B419E-FC31-84F0-5C3E-B202F3F9D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70151" y="143354"/>
          <a:ext cx="7578768" cy="418447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32459</xdr:colOff>
      <xdr:row>0</xdr:row>
      <xdr:rowOff>175846</xdr:rowOff>
    </xdr:from>
    <xdr:to>
      <xdr:col>60</xdr:col>
      <xdr:colOff>41326</xdr:colOff>
      <xdr:row>31</xdr:row>
      <xdr:rowOff>15597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250A76B-54A0-41C8-A65D-C087EE0B1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6859" y="175846"/>
          <a:ext cx="7619342" cy="544997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61</xdr:col>
      <xdr:colOff>10036</xdr:colOff>
      <xdr:row>0</xdr:row>
      <xdr:rowOff>143354</xdr:rowOff>
    </xdr:from>
    <xdr:to>
      <xdr:col>108</xdr:col>
      <xdr:colOff>12765</xdr:colOff>
      <xdr:row>23</xdr:row>
      <xdr:rowOff>114846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A17D408-4774-429E-AC85-91E4A5AED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06836" y="143354"/>
          <a:ext cx="7613204" cy="413391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4</xdr:col>
      <xdr:colOff>408215</xdr:colOff>
      <xdr:row>24</xdr:row>
      <xdr:rowOff>13607</xdr:rowOff>
    </xdr:from>
    <xdr:to>
      <xdr:col>15</xdr:col>
      <xdr:colOff>149679</xdr:colOff>
      <xdr:row>32</xdr:row>
      <xdr:rowOff>163287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A3A9C6E0-20CA-E359-DC59-3539E5F29F7A}"/>
            </a:ext>
          </a:extLst>
        </xdr:cNvPr>
        <xdr:cNvSpPr/>
      </xdr:nvSpPr>
      <xdr:spPr>
        <a:xfrm>
          <a:off x="2231572" y="4259036"/>
          <a:ext cx="2979964" cy="156482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800">
              <a:solidFill>
                <a:srgbClr val="FF0000"/>
              </a:solidFill>
            </a:rPr>
            <a:t>注意：这是下一个版本的</a:t>
          </a:r>
          <a:r>
            <a:rPr lang="en-US" altLang="zh-CN" sz="2800">
              <a:solidFill>
                <a:srgbClr val="FF0000"/>
              </a:solidFill>
            </a:rPr>
            <a:t>IO</a:t>
          </a:r>
          <a:r>
            <a:rPr lang="zh-CN" altLang="en-US" sz="2800">
              <a:solidFill>
                <a:srgbClr val="FF0000"/>
              </a:solidFill>
            </a:rPr>
            <a:t>，请不要使用。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zoomScale="85" zoomScaleNormal="85" workbookViewId="0">
      <selection activeCell="Y38" sqref="Y38"/>
    </sheetView>
  </sheetViews>
  <sheetFormatPr defaultColWidth="2.125" defaultRowHeight="14.25" x14ac:dyDescent="0.2"/>
  <cols>
    <col min="1" max="1" width="7.125" bestFit="1" customWidth="1"/>
    <col min="2" max="2" width="9" bestFit="1" customWidth="1"/>
    <col min="3" max="3" width="5.75" bestFit="1" customWidth="1"/>
    <col min="5" max="5" width="7.5" bestFit="1" customWidth="1"/>
    <col min="6" max="6" width="3.5" bestFit="1" customWidth="1"/>
    <col min="9" max="9" width="5.75" bestFit="1" customWidth="1"/>
    <col min="10" max="10" width="7.125" bestFit="1" customWidth="1"/>
    <col min="11" max="11" width="5.625" bestFit="1" customWidth="1"/>
  </cols>
  <sheetData>
    <row r="1" spans="1:11" x14ac:dyDescent="0.2">
      <c r="A1" s="1" t="s">
        <v>0</v>
      </c>
      <c r="B1" s="1" t="s">
        <v>38</v>
      </c>
      <c r="C1" s="2" t="s">
        <v>12</v>
      </c>
      <c r="E1" s="9" t="s">
        <v>52</v>
      </c>
      <c r="F1" s="9">
        <f>COUNTA(I3:I19,K7:K21)</f>
        <v>32</v>
      </c>
      <c r="I1" s="25" t="s">
        <v>82</v>
      </c>
      <c r="J1" s="25"/>
      <c r="K1" s="25"/>
    </row>
    <row r="2" spans="1:11" x14ac:dyDescent="0.2">
      <c r="A2" s="1"/>
      <c r="B2" s="1" t="s">
        <v>39</v>
      </c>
      <c r="C2" s="2" t="s">
        <v>11</v>
      </c>
      <c r="E2" s="9" t="s">
        <v>53</v>
      </c>
      <c r="F2" s="9">
        <f>COUNTA(C1:C11)</f>
        <v>11</v>
      </c>
      <c r="I2" s="1"/>
      <c r="J2" s="1" t="s">
        <v>0</v>
      </c>
      <c r="K2" s="1"/>
    </row>
    <row r="3" spans="1:11" x14ac:dyDescent="0.2">
      <c r="A3" s="1" t="s">
        <v>40</v>
      </c>
      <c r="B3" s="1" t="s">
        <v>42</v>
      </c>
      <c r="C3" s="5" t="s">
        <v>21</v>
      </c>
      <c r="E3" s="9" t="s">
        <v>50</v>
      </c>
      <c r="F3" s="9">
        <v>8</v>
      </c>
      <c r="I3" s="12" t="s">
        <v>6</v>
      </c>
      <c r="J3" s="1"/>
      <c r="K3" s="7" t="s">
        <v>2</v>
      </c>
    </row>
    <row r="4" spans="1:11" x14ac:dyDescent="0.2">
      <c r="A4" s="1"/>
      <c r="B4" s="1" t="s">
        <v>41</v>
      </c>
      <c r="C4" s="5" t="s">
        <v>22</v>
      </c>
      <c r="E4" s="9" t="s">
        <v>51</v>
      </c>
      <c r="F4" s="9">
        <v>6</v>
      </c>
      <c r="I4" s="12" t="s">
        <v>7</v>
      </c>
      <c r="J4" s="1"/>
      <c r="K4" s="8" t="s">
        <v>2</v>
      </c>
    </row>
    <row r="5" spans="1:11" x14ac:dyDescent="0.2">
      <c r="A5" s="1" t="s">
        <v>43</v>
      </c>
      <c r="B5" s="1" t="s">
        <v>45</v>
      </c>
      <c r="C5" s="4" t="s">
        <v>27</v>
      </c>
      <c r="E5" s="13" t="s">
        <v>77</v>
      </c>
      <c r="F5" s="9">
        <v>2</v>
      </c>
      <c r="I5" s="12" t="s">
        <v>8</v>
      </c>
      <c r="J5" s="1"/>
      <c r="K5" s="1" t="s">
        <v>3</v>
      </c>
    </row>
    <row r="6" spans="1:11" x14ac:dyDescent="0.2">
      <c r="A6" s="1"/>
      <c r="B6" s="1" t="s">
        <v>44</v>
      </c>
      <c r="C6" s="4" t="s">
        <v>28</v>
      </c>
      <c r="E6" s="9" t="s">
        <v>69</v>
      </c>
      <c r="F6" s="9">
        <v>5</v>
      </c>
      <c r="I6" s="12" t="s">
        <v>9</v>
      </c>
      <c r="J6" s="1"/>
      <c r="K6" s="1" t="s">
        <v>4</v>
      </c>
    </row>
    <row r="7" spans="1:11" x14ac:dyDescent="0.2">
      <c r="A7" s="1"/>
      <c r="B7" s="1" t="s">
        <v>46</v>
      </c>
      <c r="C7" s="4" t="s">
        <v>29</v>
      </c>
      <c r="E7" s="9" t="s">
        <v>54</v>
      </c>
      <c r="F7" s="9">
        <f>F1-SUM(F2:F6)</f>
        <v>0</v>
      </c>
      <c r="I7" s="12" t="s">
        <v>10</v>
      </c>
      <c r="J7" s="1"/>
      <c r="K7" s="3" t="s">
        <v>23</v>
      </c>
    </row>
    <row r="8" spans="1:11" x14ac:dyDescent="0.2">
      <c r="A8" s="1"/>
      <c r="B8" s="1" t="s">
        <v>47</v>
      </c>
      <c r="C8" s="4" t="s">
        <v>30</v>
      </c>
      <c r="I8" s="2" t="s">
        <v>11</v>
      </c>
      <c r="J8" s="1"/>
      <c r="K8" s="3" t="s">
        <v>24</v>
      </c>
    </row>
    <row r="9" spans="1:11" x14ac:dyDescent="0.2">
      <c r="A9" s="1" t="s">
        <v>48</v>
      </c>
      <c r="B9" s="1" t="s">
        <v>38</v>
      </c>
      <c r="C9" s="3" t="s">
        <v>23</v>
      </c>
      <c r="I9" s="2" t="s">
        <v>12</v>
      </c>
      <c r="J9" s="1"/>
      <c r="K9" s="3" t="s">
        <v>25</v>
      </c>
    </row>
    <row r="10" spans="1:11" x14ac:dyDescent="0.2">
      <c r="A10" s="1"/>
      <c r="B10" s="1" t="s">
        <v>39</v>
      </c>
      <c r="C10" s="3" t="s">
        <v>24</v>
      </c>
      <c r="I10" s="12" t="s">
        <v>13</v>
      </c>
      <c r="J10" s="1"/>
      <c r="K10" s="12" t="s">
        <v>26</v>
      </c>
    </row>
    <row r="11" spans="1:11" x14ac:dyDescent="0.2">
      <c r="A11" s="1"/>
      <c r="B11" s="1" t="s">
        <v>49</v>
      </c>
      <c r="C11" s="3" t="s">
        <v>25</v>
      </c>
      <c r="I11" s="12" t="s">
        <v>14</v>
      </c>
      <c r="J11" s="1"/>
      <c r="K11" s="4" t="s">
        <v>27</v>
      </c>
    </row>
    <row r="12" spans="1:11" x14ac:dyDescent="0.2">
      <c r="A12" s="1" t="s">
        <v>50</v>
      </c>
      <c r="B12" s="1" t="s">
        <v>55</v>
      </c>
      <c r="C12" s="12" t="s">
        <v>6</v>
      </c>
      <c r="I12" s="11" t="s">
        <v>15</v>
      </c>
      <c r="J12" s="1"/>
      <c r="K12" s="4" t="s">
        <v>28</v>
      </c>
    </row>
    <row r="13" spans="1:11" x14ac:dyDescent="0.2">
      <c r="A13" s="1"/>
      <c r="B13" s="1" t="s">
        <v>56</v>
      </c>
      <c r="C13" s="12" t="s">
        <v>7</v>
      </c>
      <c r="I13" s="11" t="s">
        <v>16</v>
      </c>
      <c r="J13" s="1"/>
      <c r="K13" s="4" t="s">
        <v>29</v>
      </c>
    </row>
    <row r="14" spans="1:11" x14ac:dyDescent="0.2">
      <c r="A14" s="1"/>
      <c r="B14" s="1" t="s">
        <v>57</v>
      </c>
      <c r="C14" s="12" t="s">
        <v>8</v>
      </c>
      <c r="I14" s="11" t="s">
        <v>17</v>
      </c>
      <c r="J14" s="1"/>
      <c r="K14" s="4" t="s">
        <v>30</v>
      </c>
    </row>
    <row r="15" spans="1:11" x14ac:dyDescent="0.2">
      <c r="A15" s="1"/>
      <c r="B15" s="1" t="s">
        <v>58</v>
      </c>
      <c r="C15" s="12" t="s">
        <v>9</v>
      </c>
      <c r="I15" s="11" t="s">
        <v>18</v>
      </c>
      <c r="J15" s="1"/>
      <c r="K15" s="16" t="s">
        <v>31</v>
      </c>
    </row>
    <row r="16" spans="1:11" x14ac:dyDescent="0.2">
      <c r="A16" s="1"/>
      <c r="B16" s="1" t="s">
        <v>59</v>
      </c>
      <c r="C16" s="12" t="s">
        <v>10</v>
      </c>
      <c r="I16" s="11" t="s">
        <v>19</v>
      </c>
      <c r="J16" s="1"/>
      <c r="K16" s="16" t="s">
        <v>32</v>
      </c>
    </row>
    <row r="17" spans="1:11" x14ac:dyDescent="0.2">
      <c r="A17" s="1"/>
      <c r="B17" s="1" t="s">
        <v>60</v>
      </c>
      <c r="C17" s="12" t="s">
        <v>26</v>
      </c>
      <c r="I17" s="11" t="s">
        <v>20</v>
      </c>
      <c r="J17" s="1"/>
      <c r="K17" s="16" t="s">
        <v>33</v>
      </c>
    </row>
    <row r="18" spans="1:11" x14ac:dyDescent="0.2">
      <c r="A18" s="1"/>
      <c r="B18" s="1" t="s">
        <v>61</v>
      </c>
      <c r="C18" s="12" t="s">
        <v>13</v>
      </c>
      <c r="I18" s="5" t="s">
        <v>21</v>
      </c>
      <c r="J18" s="1"/>
      <c r="K18" s="16" t="s">
        <v>34</v>
      </c>
    </row>
    <row r="19" spans="1:11" x14ac:dyDescent="0.2">
      <c r="A19" s="1"/>
      <c r="B19" s="1" t="s">
        <v>62</v>
      </c>
      <c r="C19" s="12" t="s">
        <v>14</v>
      </c>
      <c r="I19" s="5" t="s">
        <v>22</v>
      </c>
      <c r="J19" s="1"/>
      <c r="K19" s="16" t="s">
        <v>35</v>
      </c>
    </row>
    <row r="20" spans="1:11" x14ac:dyDescent="0.2">
      <c r="A20" s="1" t="s">
        <v>51</v>
      </c>
      <c r="B20" s="1" t="s">
        <v>63</v>
      </c>
      <c r="C20" s="11" t="s">
        <v>15</v>
      </c>
      <c r="I20" s="6" t="s">
        <v>1</v>
      </c>
      <c r="J20" s="1"/>
      <c r="K20" s="15" t="s">
        <v>36</v>
      </c>
    </row>
    <row r="21" spans="1:11" x14ac:dyDescent="0.2">
      <c r="A21" s="1"/>
      <c r="B21" s="1" t="s">
        <v>64</v>
      </c>
      <c r="C21" s="11" t="s">
        <v>16</v>
      </c>
      <c r="I21" s="8" t="s">
        <v>2</v>
      </c>
      <c r="J21" s="1"/>
      <c r="K21" s="15" t="s">
        <v>37</v>
      </c>
    </row>
    <row r="22" spans="1:11" x14ac:dyDescent="0.2">
      <c r="A22" s="1"/>
      <c r="B22" s="1" t="s">
        <v>65</v>
      </c>
      <c r="C22" s="11" t="s">
        <v>17</v>
      </c>
      <c r="I22" s="6" t="s">
        <v>3</v>
      </c>
      <c r="J22" s="1"/>
      <c r="K22" s="6" t="s">
        <v>5</v>
      </c>
    </row>
    <row r="23" spans="1:11" x14ac:dyDescent="0.2">
      <c r="A23" s="1"/>
      <c r="B23" s="1" t="s">
        <v>66</v>
      </c>
      <c r="C23" s="11" t="s">
        <v>18</v>
      </c>
    </row>
    <row r="24" spans="1:11" x14ac:dyDescent="0.2">
      <c r="A24" s="1"/>
      <c r="B24" s="1" t="s">
        <v>67</v>
      </c>
      <c r="C24" s="11" t="s">
        <v>19</v>
      </c>
    </row>
    <row r="25" spans="1:11" x14ac:dyDescent="0.2">
      <c r="A25" s="1"/>
      <c r="B25" s="1" t="s">
        <v>68</v>
      </c>
      <c r="C25" s="11" t="s">
        <v>20</v>
      </c>
    </row>
    <row r="26" spans="1:11" x14ac:dyDescent="0.2">
      <c r="A26" t="s">
        <v>77</v>
      </c>
      <c r="B26" s="10" t="s">
        <v>78</v>
      </c>
      <c r="C26" s="15" t="s">
        <v>36</v>
      </c>
    </row>
    <row r="27" spans="1:11" x14ac:dyDescent="0.2">
      <c r="B27" s="10" t="s">
        <v>79</v>
      </c>
      <c r="C27" s="15" t="s">
        <v>37</v>
      </c>
    </row>
    <row r="28" spans="1:11" x14ac:dyDescent="0.2">
      <c r="A28" t="s">
        <v>70</v>
      </c>
      <c r="B28" s="10" t="s">
        <v>72</v>
      </c>
      <c r="C28" s="16" t="s">
        <v>35</v>
      </c>
    </row>
    <row r="29" spans="1:11" x14ac:dyDescent="0.2">
      <c r="B29" s="10" t="s">
        <v>73</v>
      </c>
      <c r="C29" s="16" t="s">
        <v>34</v>
      </c>
    </row>
    <row r="30" spans="1:11" x14ac:dyDescent="0.2">
      <c r="B30" s="10" t="s">
        <v>74</v>
      </c>
      <c r="C30" s="16" t="s">
        <v>33</v>
      </c>
    </row>
    <row r="31" spans="1:11" x14ac:dyDescent="0.2">
      <c r="B31" s="10" t="s">
        <v>75</v>
      </c>
      <c r="C31" s="16" t="s">
        <v>32</v>
      </c>
    </row>
    <row r="32" spans="1:11" x14ac:dyDescent="0.2">
      <c r="B32" s="10" t="s">
        <v>76</v>
      </c>
      <c r="C32" s="16" t="s">
        <v>31</v>
      </c>
    </row>
    <row r="33" spans="2:3" x14ac:dyDescent="0.2">
      <c r="B33" s="10" t="s">
        <v>81</v>
      </c>
      <c r="C33" s="17" t="s">
        <v>81</v>
      </c>
    </row>
    <row r="34" spans="2:3" x14ac:dyDescent="0.2">
      <c r="B34" s="10" t="s">
        <v>81</v>
      </c>
      <c r="C34" s="17" t="s">
        <v>81</v>
      </c>
    </row>
    <row r="35" spans="2:3" x14ac:dyDescent="0.2">
      <c r="B35" s="10" t="s">
        <v>71</v>
      </c>
      <c r="C35" s="14" t="s">
        <v>80</v>
      </c>
    </row>
  </sheetData>
  <mergeCells count="1">
    <mergeCell ref="I1:K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0F7D0-5499-461D-9260-B1E2470CF6EE}">
  <dimension ref="A1:K35"/>
  <sheetViews>
    <sheetView zoomScale="70" zoomScaleNormal="70" workbookViewId="0">
      <selection activeCell="Y39" sqref="Y39"/>
    </sheetView>
  </sheetViews>
  <sheetFormatPr defaultColWidth="2.125" defaultRowHeight="14.25" x14ac:dyDescent="0.2"/>
  <cols>
    <col min="1" max="1" width="7.125" bestFit="1" customWidth="1"/>
    <col min="2" max="2" width="9" bestFit="1" customWidth="1"/>
    <col min="3" max="3" width="5.75" bestFit="1" customWidth="1"/>
    <col min="5" max="5" width="7.5" bestFit="1" customWidth="1"/>
    <col min="6" max="6" width="3.5" bestFit="1" customWidth="1"/>
    <col min="9" max="9" width="5.75" bestFit="1" customWidth="1"/>
    <col min="10" max="10" width="7.125" bestFit="1" customWidth="1"/>
    <col min="11" max="11" width="5.625" bestFit="1" customWidth="1"/>
  </cols>
  <sheetData>
    <row r="1" spans="1:11" x14ac:dyDescent="0.2">
      <c r="A1" s="1" t="s">
        <v>0</v>
      </c>
      <c r="B1" s="1" t="s">
        <v>38</v>
      </c>
      <c r="C1" s="2" t="s">
        <v>12</v>
      </c>
      <c r="E1" s="9" t="s">
        <v>52</v>
      </c>
      <c r="F1" s="9">
        <f>COUNTA(I3:I19,K7:K21)</f>
        <v>32</v>
      </c>
      <c r="I1" s="25" t="s">
        <v>82</v>
      </c>
      <c r="J1" s="25"/>
      <c r="K1" s="25"/>
    </row>
    <row r="2" spans="1:11" x14ac:dyDescent="0.2">
      <c r="A2" s="1"/>
      <c r="B2" s="1" t="s">
        <v>39</v>
      </c>
      <c r="C2" s="2" t="s">
        <v>11</v>
      </c>
      <c r="E2" s="9" t="s">
        <v>53</v>
      </c>
      <c r="F2" s="9">
        <f>COUNTA(C1:C11)</f>
        <v>11</v>
      </c>
      <c r="I2" s="1"/>
      <c r="J2" s="1" t="s">
        <v>0</v>
      </c>
      <c r="K2" s="1"/>
    </row>
    <row r="3" spans="1:11" x14ac:dyDescent="0.2">
      <c r="A3" s="1" t="s">
        <v>40</v>
      </c>
      <c r="B3" s="1" t="s">
        <v>42</v>
      </c>
      <c r="C3" s="5" t="s">
        <v>21</v>
      </c>
      <c r="E3" s="9" t="s">
        <v>50</v>
      </c>
      <c r="F3" s="9">
        <v>8</v>
      </c>
      <c r="I3" s="12" t="s">
        <v>6</v>
      </c>
      <c r="J3" s="1"/>
      <c r="K3" s="7" t="s">
        <v>2</v>
      </c>
    </row>
    <row r="4" spans="1:11" x14ac:dyDescent="0.2">
      <c r="A4" s="1"/>
      <c r="B4" s="1" t="s">
        <v>41</v>
      </c>
      <c r="C4" s="5" t="s">
        <v>22</v>
      </c>
      <c r="E4" s="9" t="s">
        <v>51</v>
      </c>
      <c r="F4" s="9">
        <v>6</v>
      </c>
      <c r="I4" s="12" t="s">
        <v>7</v>
      </c>
      <c r="J4" s="1"/>
      <c r="K4" s="8" t="s">
        <v>2</v>
      </c>
    </row>
    <row r="5" spans="1:11" x14ac:dyDescent="0.2">
      <c r="A5" s="1" t="s">
        <v>43</v>
      </c>
      <c r="B5" s="1" t="s">
        <v>45</v>
      </c>
      <c r="C5" s="4" t="s">
        <v>27</v>
      </c>
      <c r="E5" s="13" t="s">
        <v>77</v>
      </c>
      <c r="F5" s="9">
        <v>2</v>
      </c>
      <c r="I5" s="12" t="s">
        <v>8</v>
      </c>
      <c r="J5" s="1"/>
      <c r="K5" s="1" t="s">
        <v>3</v>
      </c>
    </row>
    <row r="6" spans="1:11" x14ac:dyDescent="0.2">
      <c r="A6" s="1"/>
      <c r="B6" s="1" t="s">
        <v>44</v>
      </c>
      <c r="C6" s="4" t="s">
        <v>28</v>
      </c>
      <c r="E6" s="9" t="s">
        <v>69</v>
      </c>
      <c r="F6" s="9">
        <v>5</v>
      </c>
      <c r="I6" s="12" t="s">
        <v>9</v>
      </c>
      <c r="J6" s="1"/>
      <c r="K6" s="1" t="s">
        <v>4</v>
      </c>
    </row>
    <row r="7" spans="1:11" x14ac:dyDescent="0.2">
      <c r="A7" s="1"/>
      <c r="B7" s="1" t="s">
        <v>46</v>
      </c>
      <c r="C7" s="4" t="s">
        <v>29</v>
      </c>
      <c r="E7" s="9" t="s">
        <v>54</v>
      </c>
      <c r="F7" s="9">
        <f>F1-SUM(F2:F6)</f>
        <v>0</v>
      </c>
      <c r="I7" s="12" t="s">
        <v>10</v>
      </c>
      <c r="J7" s="1"/>
      <c r="K7" s="3" t="s">
        <v>23</v>
      </c>
    </row>
    <row r="8" spans="1:11" x14ac:dyDescent="0.2">
      <c r="A8" s="1"/>
      <c r="B8" s="1" t="s">
        <v>47</v>
      </c>
      <c r="C8" s="4" t="s">
        <v>30</v>
      </c>
      <c r="I8" s="2" t="s">
        <v>11</v>
      </c>
      <c r="J8" s="1"/>
      <c r="K8" s="3" t="s">
        <v>24</v>
      </c>
    </row>
    <row r="9" spans="1:11" x14ac:dyDescent="0.2">
      <c r="A9" s="1" t="s">
        <v>48</v>
      </c>
      <c r="B9" s="1" t="s">
        <v>38</v>
      </c>
      <c r="C9" s="3" t="s">
        <v>23</v>
      </c>
      <c r="I9" s="2" t="s">
        <v>12</v>
      </c>
      <c r="J9" s="1"/>
      <c r="K9" s="3" t="s">
        <v>25</v>
      </c>
    </row>
    <row r="10" spans="1:11" x14ac:dyDescent="0.2">
      <c r="A10" s="1"/>
      <c r="B10" s="1" t="s">
        <v>39</v>
      </c>
      <c r="C10" s="3" t="s">
        <v>24</v>
      </c>
      <c r="I10" s="12" t="s">
        <v>13</v>
      </c>
      <c r="J10" s="1"/>
      <c r="K10" s="12" t="s">
        <v>26</v>
      </c>
    </row>
    <row r="11" spans="1:11" x14ac:dyDescent="0.2">
      <c r="A11" s="1"/>
      <c r="B11" s="1" t="s">
        <v>49</v>
      </c>
      <c r="C11" s="3" t="s">
        <v>25</v>
      </c>
      <c r="I11" s="12" t="s">
        <v>14</v>
      </c>
      <c r="J11" s="1"/>
      <c r="K11" s="4" t="s">
        <v>27</v>
      </c>
    </row>
    <row r="12" spans="1:11" x14ac:dyDescent="0.2">
      <c r="A12" s="1" t="s">
        <v>50</v>
      </c>
      <c r="B12" s="1" t="s">
        <v>55</v>
      </c>
      <c r="C12" s="12" t="s">
        <v>6</v>
      </c>
      <c r="I12" s="11" t="s">
        <v>15</v>
      </c>
      <c r="J12" s="1"/>
      <c r="K12" s="4" t="s">
        <v>28</v>
      </c>
    </row>
    <row r="13" spans="1:11" x14ac:dyDescent="0.2">
      <c r="A13" s="1"/>
      <c r="B13" s="1" t="s">
        <v>56</v>
      </c>
      <c r="C13" s="12" t="s">
        <v>7</v>
      </c>
      <c r="I13" s="11" t="s">
        <v>16</v>
      </c>
      <c r="J13" s="1"/>
      <c r="K13" s="4" t="s">
        <v>29</v>
      </c>
    </row>
    <row r="14" spans="1:11" x14ac:dyDescent="0.2">
      <c r="A14" s="1"/>
      <c r="B14" s="1" t="s">
        <v>57</v>
      </c>
      <c r="C14" s="12" t="s">
        <v>8</v>
      </c>
      <c r="I14" s="11" t="s">
        <v>17</v>
      </c>
      <c r="J14" s="1"/>
      <c r="K14" s="4" t="s">
        <v>30</v>
      </c>
    </row>
    <row r="15" spans="1:11" x14ac:dyDescent="0.2">
      <c r="A15" s="1"/>
      <c r="B15" s="1" t="s">
        <v>58</v>
      </c>
      <c r="C15" s="12" t="s">
        <v>9</v>
      </c>
      <c r="I15" s="11" t="s">
        <v>18</v>
      </c>
      <c r="J15" s="1"/>
      <c r="K15" s="16" t="s">
        <v>31</v>
      </c>
    </row>
    <row r="16" spans="1:11" x14ac:dyDescent="0.2">
      <c r="A16" s="1"/>
      <c r="B16" s="1" t="s">
        <v>59</v>
      </c>
      <c r="C16" s="12" t="s">
        <v>10</v>
      </c>
      <c r="I16" s="11" t="s">
        <v>19</v>
      </c>
      <c r="J16" s="1"/>
      <c r="K16" s="16" t="s">
        <v>32</v>
      </c>
    </row>
    <row r="17" spans="1:11" x14ac:dyDescent="0.2">
      <c r="A17" s="1"/>
      <c r="B17" s="1" t="s">
        <v>60</v>
      </c>
      <c r="C17" s="12" t="s">
        <v>26</v>
      </c>
      <c r="I17" s="11" t="s">
        <v>20</v>
      </c>
      <c r="J17" s="1"/>
      <c r="K17" s="16" t="s">
        <v>33</v>
      </c>
    </row>
    <row r="18" spans="1:11" x14ac:dyDescent="0.2">
      <c r="A18" s="1"/>
      <c r="B18" s="1" t="s">
        <v>61</v>
      </c>
      <c r="C18" s="12" t="s">
        <v>13</v>
      </c>
      <c r="I18" s="5" t="s">
        <v>21</v>
      </c>
      <c r="J18" s="1"/>
      <c r="K18" s="16" t="s">
        <v>34</v>
      </c>
    </row>
    <row r="19" spans="1:11" x14ac:dyDescent="0.2">
      <c r="A19" s="1"/>
      <c r="B19" s="1" t="s">
        <v>62</v>
      </c>
      <c r="C19" s="12" t="s">
        <v>14</v>
      </c>
      <c r="I19" s="5" t="s">
        <v>22</v>
      </c>
      <c r="J19" s="1"/>
      <c r="K19" s="16" t="s">
        <v>35</v>
      </c>
    </row>
    <row r="20" spans="1:11" x14ac:dyDescent="0.2">
      <c r="A20" s="1" t="s">
        <v>51</v>
      </c>
      <c r="B20" s="1" t="s">
        <v>63</v>
      </c>
      <c r="C20" s="11" t="s">
        <v>19</v>
      </c>
      <c r="I20" s="6" t="s">
        <v>1</v>
      </c>
      <c r="J20" s="1"/>
      <c r="K20" s="15" t="s">
        <v>36</v>
      </c>
    </row>
    <row r="21" spans="1:11" x14ac:dyDescent="0.2">
      <c r="A21" s="1"/>
      <c r="B21" s="1" t="s">
        <v>64</v>
      </c>
      <c r="C21" s="11" t="s">
        <v>20</v>
      </c>
      <c r="I21" s="8" t="s">
        <v>2</v>
      </c>
      <c r="J21" s="1"/>
      <c r="K21" s="15" t="s">
        <v>37</v>
      </c>
    </row>
    <row r="22" spans="1:11" x14ac:dyDescent="0.2">
      <c r="A22" s="1"/>
      <c r="B22" s="1" t="s">
        <v>65</v>
      </c>
      <c r="C22" s="11" t="s">
        <v>15</v>
      </c>
      <c r="I22" s="6" t="s">
        <v>3</v>
      </c>
      <c r="J22" s="1"/>
      <c r="K22" s="6" t="s">
        <v>5</v>
      </c>
    </row>
    <row r="23" spans="1:11" x14ac:dyDescent="0.2">
      <c r="A23" s="1"/>
      <c r="B23" s="1" t="s">
        <v>66</v>
      </c>
      <c r="C23" s="11" t="s">
        <v>16</v>
      </c>
    </row>
    <row r="24" spans="1:11" x14ac:dyDescent="0.2">
      <c r="A24" s="1"/>
      <c r="B24" s="1" t="s">
        <v>67</v>
      </c>
      <c r="C24" s="11" t="s">
        <v>17</v>
      </c>
    </row>
    <row r="25" spans="1:11" x14ac:dyDescent="0.2">
      <c r="A25" s="1"/>
      <c r="B25" s="1" t="s">
        <v>68</v>
      </c>
      <c r="C25" s="11" t="s">
        <v>18</v>
      </c>
    </row>
    <row r="26" spans="1:11" x14ac:dyDescent="0.2">
      <c r="A26" t="s">
        <v>77</v>
      </c>
      <c r="B26" s="10" t="s">
        <v>78</v>
      </c>
      <c r="C26" s="15" t="s">
        <v>36</v>
      </c>
    </row>
    <row r="27" spans="1:11" x14ac:dyDescent="0.2">
      <c r="B27" s="10" t="s">
        <v>79</v>
      </c>
      <c r="C27" s="15" t="s">
        <v>37</v>
      </c>
    </row>
    <row r="28" spans="1:11" x14ac:dyDescent="0.2">
      <c r="A28" t="s">
        <v>70</v>
      </c>
      <c r="B28" s="10" t="s">
        <v>72</v>
      </c>
      <c r="C28" s="16" t="s">
        <v>35</v>
      </c>
    </row>
    <row r="29" spans="1:11" x14ac:dyDescent="0.2">
      <c r="B29" s="10" t="s">
        <v>73</v>
      </c>
      <c r="C29" s="16" t="s">
        <v>34</v>
      </c>
    </row>
    <row r="30" spans="1:11" x14ac:dyDescent="0.2">
      <c r="B30" s="10" t="s">
        <v>74</v>
      </c>
      <c r="C30" s="16" t="s">
        <v>33</v>
      </c>
    </row>
    <row r="31" spans="1:11" x14ac:dyDescent="0.2">
      <c r="B31" s="10" t="s">
        <v>75</v>
      </c>
      <c r="C31" s="16" t="s">
        <v>32</v>
      </c>
    </row>
    <row r="32" spans="1:11" x14ac:dyDescent="0.2">
      <c r="B32" s="10" t="s">
        <v>76</v>
      </c>
      <c r="C32" s="16" t="s">
        <v>31</v>
      </c>
    </row>
    <row r="33" spans="2:3" x14ac:dyDescent="0.2">
      <c r="B33" s="10" t="s">
        <v>80</v>
      </c>
      <c r="C33" s="17" t="s">
        <v>80</v>
      </c>
    </row>
    <row r="34" spans="2:3" x14ac:dyDescent="0.2">
      <c r="B34" s="10" t="s">
        <v>80</v>
      </c>
      <c r="C34" s="17" t="s">
        <v>80</v>
      </c>
    </row>
    <row r="35" spans="2:3" x14ac:dyDescent="0.2">
      <c r="B35" s="10" t="s">
        <v>71</v>
      </c>
      <c r="C35" s="14" t="s">
        <v>80</v>
      </c>
    </row>
  </sheetData>
  <mergeCells count="1">
    <mergeCell ref="I1:K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3A81D-B179-4855-B58B-37D1327BAB9B}">
  <dimension ref="A1:J9"/>
  <sheetViews>
    <sheetView zoomScale="130" zoomScaleNormal="130" workbookViewId="0">
      <selection activeCell="E9" sqref="E9"/>
    </sheetView>
  </sheetViews>
  <sheetFormatPr defaultRowHeight="14.25" x14ac:dyDescent="0.2"/>
  <cols>
    <col min="1" max="1" width="7.25" bestFit="1" customWidth="1"/>
    <col min="2" max="4" width="5.25" bestFit="1" customWidth="1"/>
    <col min="5" max="5" width="28.75" bestFit="1" customWidth="1"/>
    <col min="7" max="7" width="7.5" bestFit="1" customWidth="1"/>
    <col min="8" max="9" width="5.25" bestFit="1" customWidth="1"/>
    <col min="10" max="10" width="26" bestFit="1" customWidth="1"/>
  </cols>
  <sheetData>
    <row r="1" spans="1:10" x14ac:dyDescent="0.2">
      <c r="A1" s="18" t="s">
        <v>83</v>
      </c>
      <c r="B1" s="18" t="s">
        <v>88</v>
      </c>
      <c r="C1" s="18" t="s">
        <v>87</v>
      </c>
      <c r="D1" s="18" t="s">
        <v>86</v>
      </c>
      <c r="E1" s="18" t="s">
        <v>90</v>
      </c>
      <c r="G1" s="18" t="s">
        <v>91</v>
      </c>
      <c r="H1" s="18" t="s">
        <v>85</v>
      </c>
      <c r="I1" s="18" t="s">
        <v>84</v>
      </c>
      <c r="J1" s="18" t="s">
        <v>90</v>
      </c>
    </row>
    <row r="2" spans="1:10" x14ac:dyDescent="0.2">
      <c r="A2" s="18" t="s">
        <v>89</v>
      </c>
      <c r="B2" s="18">
        <v>0</v>
      </c>
      <c r="C2" s="18">
        <v>0</v>
      </c>
      <c r="D2" s="18">
        <v>0</v>
      </c>
      <c r="E2" s="18" t="s">
        <v>92</v>
      </c>
      <c r="G2" s="18">
        <v>115200</v>
      </c>
      <c r="H2" s="18">
        <v>0</v>
      </c>
      <c r="I2" s="18">
        <v>0</v>
      </c>
      <c r="J2" s="18" t="s">
        <v>137</v>
      </c>
    </row>
    <row r="3" spans="1:10" x14ac:dyDescent="0.2">
      <c r="A3" s="18">
        <v>1</v>
      </c>
      <c r="B3" s="18">
        <v>0</v>
      </c>
      <c r="C3" s="18">
        <v>0</v>
      </c>
      <c r="D3" s="18">
        <v>1</v>
      </c>
      <c r="E3" s="18"/>
      <c r="G3" s="18">
        <v>9600</v>
      </c>
      <c r="H3" s="18">
        <v>0</v>
      </c>
      <c r="I3" s="18">
        <v>1</v>
      </c>
      <c r="J3" s="18"/>
    </row>
    <row r="4" spans="1:10" x14ac:dyDescent="0.2">
      <c r="A4" s="18">
        <v>2</v>
      </c>
      <c r="B4" s="18">
        <v>0</v>
      </c>
      <c r="C4" s="18">
        <v>1</v>
      </c>
      <c r="D4" s="18">
        <v>0</v>
      </c>
      <c r="E4" s="18"/>
      <c r="G4" s="18">
        <v>19200</v>
      </c>
      <c r="H4" s="18">
        <v>1</v>
      </c>
      <c r="I4" s="18">
        <v>0</v>
      </c>
      <c r="J4" s="18"/>
    </row>
    <row r="5" spans="1:10" x14ac:dyDescent="0.2">
      <c r="A5" s="18">
        <v>3</v>
      </c>
      <c r="B5" s="18">
        <v>0</v>
      </c>
      <c r="C5" s="18">
        <v>1</v>
      </c>
      <c r="D5" s="18">
        <v>1</v>
      </c>
      <c r="E5" s="18"/>
      <c r="G5" s="18">
        <v>38400</v>
      </c>
      <c r="H5" s="18">
        <v>1</v>
      </c>
      <c r="I5" s="18">
        <v>1</v>
      </c>
      <c r="J5" s="18"/>
    </row>
    <row r="6" spans="1:10" x14ac:dyDescent="0.2">
      <c r="A6" s="18">
        <v>4</v>
      </c>
      <c r="B6" s="18">
        <v>1</v>
      </c>
      <c r="C6" s="18">
        <v>0</v>
      </c>
      <c r="D6" s="18">
        <v>0</v>
      </c>
      <c r="E6" s="18"/>
    </row>
    <row r="7" spans="1:10" x14ac:dyDescent="0.2">
      <c r="A7" s="18">
        <v>5</v>
      </c>
      <c r="B7" s="18">
        <v>1</v>
      </c>
      <c r="C7" s="18">
        <v>0</v>
      </c>
      <c r="D7" s="18">
        <v>1</v>
      </c>
      <c r="E7" s="18"/>
    </row>
    <row r="8" spans="1:10" x14ac:dyDescent="0.2">
      <c r="A8" s="18">
        <v>6</v>
      </c>
      <c r="B8" s="18">
        <v>1</v>
      </c>
      <c r="C8" s="18">
        <v>1</v>
      </c>
      <c r="D8" s="18">
        <v>0</v>
      </c>
      <c r="E8" s="18"/>
    </row>
    <row r="9" spans="1:10" x14ac:dyDescent="0.2">
      <c r="A9" s="18">
        <v>7</v>
      </c>
      <c r="B9" s="18">
        <v>1</v>
      </c>
      <c r="C9" s="18">
        <v>1</v>
      </c>
      <c r="D9" s="18">
        <v>1</v>
      </c>
      <c r="E9" s="18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13631-1BF1-41CB-A5BE-9C4F37C8685C}">
  <dimension ref="A1:G21"/>
  <sheetViews>
    <sheetView workbookViewId="0">
      <selection activeCell="I22" sqref="I22"/>
    </sheetView>
  </sheetViews>
  <sheetFormatPr defaultRowHeight="14.25" x14ac:dyDescent="0.2"/>
  <cols>
    <col min="1" max="1" width="12.25" style="19" bestFit="1" customWidth="1"/>
    <col min="2" max="2" width="17.625" style="19" bestFit="1" customWidth="1"/>
    <col min="3" max="3" width="8.25" style="19" bestFit="1" customWidth="1"/>
    <col min="4" max="4" width="5.25" style="19" bestFit="1" customWidth="1"/>
    <col min="5" max="5" width="8.5" style="19" bestFit="1" customWidth="1"/>
    <col min="6" max="6" width="5.25" style="19" bestFit="1" customWidth="1"/>
    <col min="7" max="7" width="52.875" style="22" bestFit="1" customWidth="1"/>
    <col min="8" max="16384" width="9" style="19"/>
  </cols>
  <sheetData>
    <row r="1" spans="1:7" x14ac:dyDescent="0.2">
      <c r="A1" s="20" t="s">
        <v>128</v>
      </c>
      <c r="B1" s="20" t="s">
        <v>93</v>
      </c>
      <c r="C1" s="20" t="s">
        <v>94</v>
      </c>
      <c r="D1" s="20" t="s">
        <v>98</v>
      </c>
      <c r="E1" s="20" t="s">
        <v>104</v>
      </c>
      <c r="F1" s="20" t="s">
        <v>95</v>
      </c>
      <c r="G1" s="20" t="s">
        <v>90</v>
      </c>
    </row>
    <row r="2" spans="1:7" x14ac:dyDescent="0.2">
      <c r="A2" s="20">
        <v>0</v>
      </c>
      <c r="B2" s="20" t="s">
        <v>130</v>
      </c>
      <c r="C2" s="20">
        <v>40408</v>
      </c>
      <c r="D2" s="20" t="s">
        <v>80</v>
      </c>
      <c r="E2" s="20"/>
      <c r="F2" s="20" t="s">
        <v>106</v>
      </c>
      <c r="G2" s="20" t="s">
        <v>129</v>
      </c>
    </row>
    <row r="3" spans="1:7" ht="85.5" x14ac:dyDescent="0.2">
      <c r="A3" s="20">
        <v>1</v>
      </c>
      <c r="B3" s="20" t="s">
        <v>96</v>
      </c>
      <c r="C3" s="20"/>
      <c r="D3" s="20" t="s">
        <v>80</v>
      </c>
      <c r="E3" s="20"/>
      <c r="F3" s="20" t="s">
        <v>106</v>
      </c>
      <c r="G3" s="21" t="s">
        <v>118</v>
      </c>
    </row>
    <row r="4" spans="1:7" ht="85.5" x14ac:dyDescent="0.2">
      <c r="A4" s="20">
        <v>2</v>
      </c>
      <c r="B4" s="20" t="s">
        <v>97</v>
      </c>
      <c r="C4" s="20"/>
      <c r="D4" s="20" t="s">
        <v>99</v>
      </c>
      <c r="E4" s="20"/>
      <c r="F4" s="20" t="s">
        <v>106</v>
      </c>
      <c r="G4" s="21" t="s">
        <v>119</v>
      </c>
    </row>
    <row r="5" spans="1:7" ht="71.25" x14ac:dyDescent="0.2">
      <c r="A5" s="20">
        <v>3</v>
      </c>
      <c r="B5" s="20" t="s">
        <v>111</v>
      </c>
      <c r="C5" s="20">
        <v>0</v>
      </c>
      <c r="D5" s="20" t="s">
        <v>80</v>
      </c>
      <c r="E5" s="20"/>
      <c r="F5" s="20" t="s">
        <v>107</v>
      </c>
      <c r="G5" s="21" t="s">
        <v>131</v>
      </c>
    </row>
    <row r="6" spans="1:7" x14ac:dyDescent="0.2">
      <c r="A6" s="20">
        <v>4</v>
      </c>
      <c r="B6" s="20" t="s">
        <v>100</v>
      </c>
      <c r="C6" s="20">
        <v>5</v>
      </c>
      <c r="D6" s="20" t="s">
        <v>101</v>
      </c>
      <c r="E6" s="20" t="s">
        <v>105</v>
      </c>
      <c r="F6" s="20" t="s">
        <v>107</v>
      </c>
      <c r="G6" s="20" t="s">
        <v>127</v>
      </c>
    </row>
    <row r="7" spans="1:7" x14ac:dyDescent="0.2">
      <c r="A7" s="20">
        <v>5</v>
      </c>
      <c r="B7" s="20" t="s">
        <v>108</v>
      </c>
      <c r="C7" s="20" t="s">
        <v>125</v>
      </c>
      <c r="D7" s="20" t="s">
        <v>80</v>
      </c>
      <c r="E7" s="20"/>
      <c r="F7" s="20" t="s">
        <v>107</v>
      </c>
      <c r="G7" s="27" t="s">
        <v>126</v>
      </c>
    </row>
    <row r="8" spans="1:7" x14ac:dyDescent="0.2">
      <c r="A8" s="20">
        <v>6</v>
      </c>
      <c r="B8" s="20" t="s">
        <v>109</v>
      </c>
      <c r="C8" s="20" t="s">
        <v>124</v>
      </c>
      <c r="D8" s="20" t="s">
        <v>80</v>
      </c>
      <c r="E8" s="20"/>
      <c r="F8" s="20" t="s">
        <v>107</v>
      </c>
      <c r="G8" s="27"/>
    </row>
    <row r="9" spans="1:7" x14ac:dyDescent="0.2">
      <c r="A9" s="20">
        <v>7</v>
      </c>
      <c r="B9" s="20" t="s">
        <v>110</v>
      </c>
      <c r="C9" s="20" t="s">
        <v>123</v>
      </c>
      <c r="D9" s="20" t="s">
        <v>80</v>
      </c>
      <c r="E9" s="20"/>
      <c r="F9" s="20" t="s">
        <v>107</v>
      </c>
      <c r="G9" s="27"/>
    </row>
    <row r="10" spans="1:7" ht="27.75" customHeight="1" x14ac:dyDescent="0.2">
      <c r="A10" s="20">
        <v>8</v>
      </c>
      <c r="B10" s="20" t="s">
        <v>114</v>
      </c>
      <c r="C10" s="20" t="s">
        <v>122</v>
      </c>
      <c r="D10" s="20" t="s">
        <v>80</v>
      </c>
      <c r="E10" s="20"/>
      <c r="F10" s="20" t="s">
        <v>107</v>
      </c>
      <c r="G10" s="26" t="s">
        <v>120</v>
      </c>
    </row>
    <row r="11" spans="1:7" ht="27.75" customHeight="1" x14ac:dyDescent="0.2">
      <c r="A11" s="20">
        <v>9</v>
      </c>
      <c r="B11" s="20" t="s">
        <v>115</v>
      </c>
      <c r="C11" s="20" t="s">
        <v>121</v>
      </c>
      <c r="D11" s="20" t="s">
        <v>80</v>
      </c>
      <c r="E11" s="20"/>
      <c r="F11" s="20" t="s">
        <v>107</v>
      </c>
      <c r="G11" s="26"/>
    </row>
    <row r="12" spans="1:7" x14ac:dyDescent="0.2">
      <c r="A12" s="20">
        <v>10</v>
      </c>
      <c r="B12" s="20" t="s">
        <v>132</v>
      </c>
      <c r="C12" s="20"/>
      <c r="D12" s="20" t="s">
        <v>135</v>
      </c>
      <c r="E12" s="20" t="s">
        <v>134</v>
      </c>
      <c r="F12" s="20" t="s">
        <v>133</v>
      </c>
      <c r="G12" s="20" t="s">
        <v>136</v>
      </c>
    </row>
    <row r="13" spans="1:7" x14ac:dyDescent="0.2">
      <c r="A13" s="20">
        <v>11</v>
      </c>
      <c r="B13" s="23" t="s">
        <v>102</v>
      </c>
      <c r="C13" s="20"/>
      <c r="D13" s="20"/>
      <c r="E13" s="20"/>
      <c r="F13" s="20" t="s">
        <v>116</v>
      </c>
      <c r="G13" s="20" t="s">
        <v>112</v>
      </c>
    </row>
    <row r="14" spans="1:7" x14ac:dyDescent="0.2">
      <c r="A14" s="20">
        <v>12</v>
      </c>
      <c r="B14" s="24" t="s">
        <v>103</v>
      </c>
      <c r="C14" s="20"/>
      <c r="D14" s="20"/>
      <c r="E14" s="20"/>
      <c r="F14" s="20" t="s">
        <v>117</v>
      </c>
      <c r="G14" s="20" t="s">
        <v>113</v>
      </c>
    </row>
    <row r="15" spans="1:7" x14ac:dyDescent="0.2">
      <c r="A15" s="20">
        <v>13</v>
      </c>
      <c r="B15" s="20" t="s">
        <v>145</v>
      </c>
      <c r="C15" s="20"/>
      <c r="D15" s="20"/>
      <c r="E15" s="20"/>
      <c r="F15" s="20" t="s">
        <v>139</v>
      </c>
      <c r="G15" s="20" t="s">
        <v>147</v>
      </c>
    </row>
    <row r="16" spans="1:7" x14ac:dyDescent="0.2">
      <c r="A16" s="20">
        <v>14</v>
      </c>
      <c r="B16" s="20" t="s">
        <v>146</v>
      </c>
      <c r="C16" s="20"/>
      <c r="D16" s="20"/>
      <c r="E16" s="20"/>
      <c r="F16" s="20" t="s">
        <v>107</v>
      </c>
      <c r="G16" s="20" t="s">
        <v>148</v>
      </c>
    </row>
    <row r="17" spans="1:7" x14ac:dyDescent="0.2">
      <c r="A17" s="20">
        <v>15</v>
      </c>
      <c r="B17" s="20" t="s">
        <v>140</v>
      </c>
      <c r="C17" s="20"/>
      <c r="D17" s="20"/>
      <c r="E17" s="20"/>
      <c r="F17" s="20" t="s">
        <v>139</v>
      </c>
      <c r="G17" s="20" t="s">
        <v>138</v>
      </c>
    </row>
    <row r="18" spans="1:7" x14ac:dyDescent="0.2">
      <c r="A18" s="20">
        <v>16</v>
      </c>
      <c r="B18" s="20" t="s">
        <v>143</v>
      </c>
      <c r="C18" s="20"/>
      <c r="D18" s="20"/>
      <c r="E18" s="20"/>
      <c r="F18" s="20" t="s">
        <v>139</v>
      </c>
      <c r="G18" s="20" t="s">
        <v>144</v>
      </c>
    </row>
    <row r="19" spans="1:7" x14ac:dyDescent="0.2">
      <c r="A19" s="20">
        <v>17</v>
      </c>
      <c r="B19" s="20" t="s">
        <v>142</v>
      </c>
      <c r="C19" s="20"/>
      <c r="D19" s="20"/>
      <c r="E19" s="20"/>
      <c r="F19" s="20" t="s">
        <v>139</v>
      </c>
      <c r="G19" s="20" t="s">
        <v>144</v>
      </c>
    </row>
    <row r="20" spans="1:7" x14ac:dyDescent="0.2">
      <c r="A20" s="20">
        <v>18</v>
      </c>
      <c r="B20" s="20" t="s">
        <v>141</v>
      </c>
      <c r="C20" s="20"/>
      <c r="D20" s="20"/>
      <c r="E20" s="20"/>
      <c r="F20" s="20" t="s">
        <v>139</v>
      </c>
      <c r="G20" s="20" t="s">
        <v>144</v>
      </c>
    </row>
    <row r="21" spans="1:7" x14ac:dyDescent="0.2">
      <c r="A21" s="20">
        <v>19</v>
      </c>
      <c r="B21" s="20"/>
      <c r="C21" s="20"/>
      <c r="D21" s="20"/>
      <c r="E21" s="20"/>
      <c r="F21" s="20"/>
      <c r="G21" s="20"/>
    </row>
  </sheetData>
  <mergeCells count="2">
    <mergeCell ref="G10:G11"/>
    <mergeCell ref="G7:G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引脚定义</vt:lpstr>
      <vt:lpstr>引脚定义(V1.2引脚定义)</vt:lpstr>
      <vt:lpstr>拨码开关说明</vt:lpstr>
      <vt:lpstr>参数定义表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满荣</dc:creator>
  <cp:lastModifiedBy>荣 满</cp:lastModifiedBy>
  <dcterms:created xsi:type="dcterms:W3CDTF">2015-06-05T18:19:34Z</dcterms:created>
  <dcterms:modified xsi:type="dcterms:W3CDTF">2024-05-01T06:40:35Z</dcterms:modified>
</cp:coreProperties>
</file>